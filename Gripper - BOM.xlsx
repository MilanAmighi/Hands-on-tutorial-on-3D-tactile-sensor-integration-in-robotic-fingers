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<sst xmlns="http://schemas.openxmlformats.org/spreadsheetml/2006/main" uniqueCount="147">
  <si>
    <t>Part number</t>
  </si>
  <si>
    <t>Name</t>
  </si>
  <si>
    <t>Quantity needed for 1 kit</t>
  </si>
  <si>
    <t>Amazon Link</t>
  </si>
  <si>
    <t>Other Link</t>
  </si>
  <si>
    <t>Comments</t>
  </si>
  <si>
    <t xml:space="preserve">Total cost (€) </t>
  </si>
  <si>
    <t>3DPrinted1</t>
  </si>
  <si>
    <t>Top_Plate</t>
  </si>
  <si>
    <t>-</t>
  </si>
  <si>
    <r>
      <rPr>
        <u val="single"/>
        <sz val="11"/>
        <color indexed="11"/>
        <rFont val="Calibri"/>
      </rPr>
      <t>PincOpen Github</t>
    </r>
  </si>
  <si>
    <t>3D printed part for the PincOpen gripper from PollenRobotics</t>
  </si>
  <si>
    <t>3DPrinted2</t>
  </si>
  <si>
    <t>Cam</t>
  </si>
  <si>
    <t>3DPrinted3</t>
  </si>
  <si>
    <t>Bottom_Plate</t>
  </si>
  <si>
    <t>3DPrinted4</t>
  </si>
  <si>
    <t>Internal_Rod</t>
  </si>
  <si>
    <t>3DPrinted5</t>
  </si>
  <si>
    <t>External_Rod</t>
  </si>
  <si>
    <t>3DPrinted6</t>
  </si>
  <si>
    <t>Distal_Rod</t>
  </si>
  <si>
    <t>3DPrinted7</t>
  </si>
  <si>
    <t>Driving_Rod</t>
  </si>
  <si>
    <t>3DPrinted8</t>
  </si>
  <si>
    <t>Removable_Tip</t>
  </si>
  <si>
    <t>See Github repository</t>
  </si>
  <si>
    <t>3D printed part for the PincOpen gripper from PollenRobotics (adapted to fit Tactaxis sensors in it)</t>
  </si>
  <si>
    <t>3DPrinted9</t>
  </si>
  <si>
    <t>Distal_Shell</t>
  </si>
  <si>
    <t>3DPrinted10</t>
  </si>
  <si>
    <t>Motor_Flange</t>
  </si>
  <si>
    <t>3DPrinted11</t>
  </si>
  <si>
    <t>Support_gripper</t>
  </si>
  <si>
    <t>Support to place the main board, the external PCB and tha attach it on the gripper</t>
  </si>
  <si>
    <t>3DPrinted12</t>
  </si>
  <si>
    <t>Cover_main_board</t>
  </si>
  <si>
    <t>Cover to protect and hid the main board on the support of the gripper</t>
  </si>
  <si>
    <t>3DPrinted13</t>
  </si>
  <si>
    <t>Cover_external_PCB</t>
  </si>
  <si>
    <t>Cover to protect and hid the external PCB on the support of the gripper</t>
  </si>
  <si>
    <t>3DPrinted14</t>
  </si>
  <si>
    <t>Potentiometer_Knob</t>
  </si>
  <si>
    <t>Knob to cover the potentiometer</t>
  </si>
  <si>
    <t>Electronics1</t>
  </si>
  <si>
    <t>Feetech STS3215</t>
  </si>
  <si>
    <r>
      <rPr>
        <u val="single"/>
        <sz val="11"/>
        <color indexed="11"/>
        <rFont val="Calibri"/>
      </rPr>
      <t>Electronics1</t>
    </r>
  </si>
  <si>
    <r>
      <rPr>
        <u val="single"/>
        <sz val="11"/>
        <color indexed="11"/>
        <rFont val="Calibri"/>
      </rPr>
      <t>Gotronic</t>
    </r>
  </si>
  <si>
    <t>Servo motor to control the gripper</t>
  </si>
  <si>
    <t>Electronics2</t>
  </si>
  <si>
    <t>Cable USB A - USB C (1m)</t>
  </si>
  <si>
    <r>
      <rPr>
        <u val="single"/>
        <sz val="11"/>
        <color indexed="11"/>
        <rFont val="Calibri"/>
      </rPr>
      <t>Digikey</t>
    </r>
  </si>
  <si>
    <t>To connect the main board to the PC and control the gripper with python codes</t>
  </si>
  <si>
    <t>Electronics3</t>
  </si>
  <si>
    <t>Tactaxis sensors from Melexis - 4 taxels</t>
  </si>
  <si>
    <t>From Melexis</t>
  </si>
  <si>
    <t xml:space="preserve">3D forces sensing from Melexis </t>
  </si>
  <si>
    <t>Electronics4</t>
  </si>
  <si>
    <t>Cover sensors</t>
  </si>
  <si>
    <t>Covers on the top of the sensors to have a better grasp</t>
  </si>
  <si>
    <t>Electronics5</t>
  </si>
  <si>
    <t xml:space="preserve">Cables for Tactaxis sensors (25cm) </t>
  </si>
  <si>
    <t>Cables to connect the sensors to the board</t>
  </si>
  <si>
    <t>Electronics6</t>
  </si>
  <si>
    <t>Cables between PCB cable</t>
  </si>
  <si>
    <t>Cable to connect PCB to the main board</t>
  </si>
  <si>
    <t>Electronics7</t>
  </si>
  <si>
    <t>Cable Power supply</t>
  </si>
  <si>
    <r>
      <rPr>
        <u val="single"/>
        <sz val="11"/>
        <color indexed="11"/>
        <rFont val="Calibri"/>
      </rPr>
      <t>Ampul</t>
    </r>
  </si>
  <si>
    <t>Power supply for the servo controller</t>
  </si>
  <si>
    <t>Electronics8</t>
  </si>
  <si>
    <t>Main board</t>
  </si>
  <si>
    <t>Designed by Melexis, allow to control the full gripper</t>
  </si>
  <si>
    <t>Electronics9</t>
  </si>
  <si>
    <t>External PCB</t>
  </si>
  <si>
    <t>Designed by Melexis, allow to connect the full system with the potentiometer, the joystick and the LCD screen</t>
  </si>
  <si>
    <t>Electronics10</t>
  </si>
  <si>
    <t>LCD screen ST7735</t>
  </si>
  <si>
    <r>
      <rPr>
        <u val="single"/>
        <sz val="11"/>
        <color indexed="11"/>
        <rFont val="Calibri"/>
      </rPr>
      <t>Electronics10</t>
    </r>
  </si>
  <si>
    <r>
      <rPr>
        <u val="single"/>
        <sz val="11"/>
        <color indexed="11"/>
        <rFont val="Calibri"/>
      </rPr>
      <t>Ebay</t>
    </r>
  </si>
  <si>
    <t>Show the GUI to the user on the external PCB</t>
  </si>
  <si>
    <t>Electronics11</t>
  </si>
  <si>
    <t>Joystick</t>
  </si>
  <si>
    <t>To select option on the screen, used also as a button</t>
  </si>
  <si>
    <t>Electronics12</t>
  </si>
  <si>
    <t>Potentiometer</t>
  </si>
  <si>
    <t>To increase the force wanted by the user</t>
  </si>
  <si>
    <t>Electronics13</t>
  </si>
  <si>
    <t>Header LCD</t>
  </si>
  <si>
    <t>Header to connect the LCD screen to the external PCB</t>
  </si>
  <si>
    <t>Mechanics1</t>
  </si>
  <si>
    <t>Parallel Pin 3 x 16 h6</t>
  </si>
  <si>
    <r>
      <rPr>
        <u val="single"/>
        <sz val="11"/>
        <color indexed="11"/>
        <rFont val="Calibri"/>
      </rPr>
      <t>Mechanics1</t>
    </r>
  </si>
  <si>
    <r>
      <rPr>
        <u val="single"/>
        <sz val="11"/>
        <color indexed="11"/>
        <rFont val="Calibri"/>
      </rPr>
      <t>Vital-part</t>
    </r>
  </si>
  <si>
    <t>Used to mount the PincOpen gripper from PollenRobotics</t>
  </si>
  <si>
    <t>Mechanics2</t>
  </si>
  <si>
    <t>Parallel Pin 3 x 24 h6</t>
  </si>
  <si>
    <r>
      <rPr>
        <u val="single"/>
        <sz val="11"/>
        <color indexed="11"/>
        <rFont val="Calibri"/>
      </rPr>
      <t>Mechanics2</t>
    </r>
  </si>
  <si>
    <r>
      <rPr>
        <u val="single"/>
        <sz val="11"/>
        <color indexed="11"/>
        <rFont val="Calibri"/>
      </rPr>
      <t>VitalPart</t>
    </r>
  </si>
  <si>
    <t>Mechanics3</t>
  </si>
  <si>
    <t>Plain Bearing 3 x 6 x 5 mm</t>
  </si>
  <si>
    <r>
      <rPr>
        <u val="single"/>
        <sz val="11"/>
        <color indexed="11"/>
        <rFont val="Calibri"/>
      </rPr>
      <t>Mechanics3</t>
    </r>
  </si>
  <si>
    <r>
      <rPr>
        <u val="single"/>
        <sz val="11"/>
        <color indexed="11"/>
        <rFont val="Calibri"/>
      </rPr>
      <t>Aliexpress</t>
    </r>
  </si>
  <si>
    <t>Mechanics4</t>
  </si>
  <si>
    <t>Screw thermoplastic 2.5 x 8 mm</t>
  </si>
  <si>
    <r>
      <rPr>
        <u val="single"/>
        <sz val="11"/>
        <color indexed="11"/>
        <rFont val="Calibri"/>
      </rPr>
      <t>Mechanics4</t>
    </r>
  </si>
  <si>
    <t>Used to mount the PincOpen gripper: body of the gripper (11) + used to mount the support with the gripper (5)+to attach the support (4) + top of PCB (4)</t>
  </si>
  <si>
    <t>Mechanics5</t>
  </si>
  <si>
    <t>Screw M3 x 0.50 x 10 mm</t>
  </si>
  <si>
    <r>
      <rPr>
        <u val="single"/>
        <sz val="11"/>
        <color indexed="11"/>
        <rFont val="Calibri"/>
      </rPr>
      <t>Mechanics5</t>
    </r>
  </si>
  <si>
    <r>
      <rPr>
        <u val="single"/>
        <sz val="11"/>
        <color indexed="11"/>
        <rFont val="Calibri"/>
      </rPr>
      <t>RS</t>
    </r>
  </si>
  <si>
    <t>Used to mount the PincOpen gripper</t>
  </si>
  <si>
    <t>Mechanics6</t>
  </si>
  <si>
    <t>Screw M2 x 8 mm</t>
  </si>
  <si>
    <r>
      <rPr>
        <u val="single"/>
        <sz val="11"/>
        <color indexed="11"/>
        <rFont val="Calibri"/>
      </rPr>
      <t>Mechanics6</t>
    </r>
  </si>
  <si>
    <t>Used to mount the top plate of the support (4) + board (4)  + PCB(4) + for touch sensors (2x4)</t>
  </si>
  <si>
    <t>Mechanics7</t>
  </si>
  <si>
    <t>Hex Nut M2</t>
  </si>
  <si>
    <t>Used to attach the screws of the touch sensors</t>
  </si>
  <si>
    <t>Mechanics8</t>
  </si>
  <si>
    <t>Brass insert M3</t>
  </si>
  <si>
    <r>
      <rPr>
        <u val="single"/>
        <sz val="11"/>
        <color indexed="11"/>
        <rFont val="Calibri"/>
      </rPr>
      <t>Mechanics8</t>
    </r>
  </si>
  <si>
    <t>Mechanics9</t>
  </si>
  <si>
    <t>Brass insert M2</t>
  </si>
  <si>
    <r>
      <rPr>
        <u val="single"/>
        <sz val="11"/>
        <color indexed="11"/>
        <rFont val="Calibri"/>
      </rPr>
      <t>Mechanics9</t>
    </r>
  </si>
  <si>
    <t>Used to mount the main board and the external PCB on the support_gripper</t>
  </si>
  <si>
    <t>Tool1</t>
  </si>
  <si>
    <t>2,5 mm hex key</t>
  </si>
  <si>
    <r>
      <rPr>
        <u val="single"/>
        <sz val="11"/>
        <color indexed="11"/>
        <rFont val="Calibri"/>
      </rPr>
      <t>Tool1</t>
    </r>
  </si>
  <si>
    <t>Tools:  Allenkey for M3</t>
  </si>
  <si>
    <t>Tool2</t>
  </si>
  <si>
    <t>Small Phillips screwdriver</t>
  </si>
  <si>
    <r>
      <rPr>
        <u val="single"/>
        <sz val="11"/>
        <color indexed="11"/>
        <rFont val="Calibri"/>
      </rPr>
      <t>Tool2</t>
    </r>
  </si>
  <si>
    <t>Tools: Screwdriver for M2</t>
  </si>
  <si>
    <t>Object1</t>
  </si>
  <si>
    <t>Wood cubes</t>
  </si>
  <si>
    <r>
      <rPr>
        <u val="single"/>
        <sz val="11"/>
        <color indexed="11"/>
        <rFont val="Calibri"/>
      </rPr>
      <t>Object1</t>
    </r>
  </si>
  <si>
    <t>Object to grasp: wood cube</t>
  </si>
  <si>
    <t>Object2</t>
  </si>
  <si>
    <t>White plastics cups</t>
  </si>
  <si>
    <r>
      <rPr>
        <u val="single"/>
        <sz val="11"/>
        <color indexed="11"/>
        <rFont val="Calibri"/>
      </rPr>
      <t>Object2</t>
    </r>
  </si>
  <si>
    <t>Object to grasp: plastic cup</t>
  </si>
  <si>
    <t>Object3</t>
  </si>
  <si>
    <t>Sponges</t>
  </si>
  <si>
    <r>
      <rPr>
        <u val="single"/>
        <sz val="11"/>
        <color indexed="11"/>
        <rFont val="Calibri"/>
      </rPr>
      <t>Object3</t>
    </r>
  </si>
  <si>
    <t>Object to grasp: sponge</t>
  </si>
  <si>
    <t>Total price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</si>
</sst>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Roboto"/>
    </font>
    <font>
      <u val="single"/>
      <sz val="11"/>
      <color indexed="11"/>
      <name val="Calibri"/>
    </font>
    <font>
      <sz val="10"/>
      <color indexed="12"/>
      <name val="Roboto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bottom"/>
    </xf>
    <xf numFmtId="49" fontId="3" fillId="3" borderId="1" applyNumberFormat="1" applyFont="1" applyFill="1" applyBorder="1" applyAlignment="1" applyProtection="0">
      <alignment horizontal="left" vertical="center"/>
    </xf>
    <xf numFmtId="1" fontId="3" fillId="3" borderId="1" applyNumberFormat="1" applyFont="1" applyFill="1" applyBorder="1" applyAlignment="1" applyProtection="0">
      <alignment vertical="center"/>
    </xf>
    <xf numFmtId="49" fontId="3" fillId="3" borderId="1" applyNumberFormat="1" applyFont="1" applyFill="1" applyBorder="1" applyAlignment="1" applyProtection="0">
      <alignment horizontal="center" vertical="center"/>
    </xf>
    <xf numFmtId="49" fontId="4" fillId="3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vertical="center"/>
    </xf>
    <xf numFmtId="2" fontId="0" fillId="3" borderId="1" applyNumberFormat="1" applyFont="1" applyFill="1" applyBorder="1" applyAlignment="1" applyProtection="0">
      <alignment vertical="bottom" wrapText="1"/>
    </xf>
    <xf numFmtId="49" fontId="3" fillId="3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left" vertical="center"/>
    </xf>
    <xf numFmtId="1" fontId="3" fillId="3" borderId="2" applyNumberFormat="1" applyFont="1" applyFill="1" applyBorder="1" applyAlignment="1" applyProtection="0">
      <alignment vertical="center"/>
    </xf>
    <xf numFmtId="49" fontId="3" fillId="3" borderId="2" applyNumberFormat="1" applyFont="1" applyFill="1" applyBorder="1" applyAlignment="1" applyProtection="0">
      <alignment horizontal="center" vertical="center"/>
    </xf>
    <xf numFmtId="49" fontId="3" fillId="3" borderId="2" applyNumberFormat="1" applyFont="1" applyFill="1" applyBorder="1" applyAlignment="1" applyProtection="0">
      <alignment vertical="center"/>
    </xf>
    <xf numFmtId="2" fontId="0" fillId="3" borderId="2" applyNumberFormat="1" applyFont="1" applyFill="1" applyBorder="1" applyAlignment="1" applyProtection="0">
      <alignment vertical="bottom" wrapText="1"/>
    </xf>
    <xf numFmtId="49" fontId="3" fillId="3" borderId="3" applyNumberFormat="1" applyFont="1" applyFill="1" applyBorder="1" applyAlignment="1" applyProtection="0">
      <alignment horizontal="left" vertical="center"/>
    </xf>
    <xf numFmtId="1" fontId="3" fillId="3" borderId="3" applyNumberFormat="1" applyFont="1" applyFill="1" applyBorder="1" applyAlignment="1" applyProtection="0">
      <alignment vertical="center"/>
    </xf>
    <xf numFmtId="49" fontId="4" fillId="3" borderId="3" applyNumberFormat="1" applyFont="1" applyFill="1" applyBorder="1" applyAlignment="1" applyProtection="0">
      <alignment horizontal="center" vertical="center"/>
    </xf>
    <xf numFmtId="49" fontId="4" fillId="3" borderId="3" applyNumberFormat="1" applyFont="1" applyFill="1" applyBorder="1" applyAlignment="1" applyProtection="0">
      <alignment horizontal="center" vertical="bottom"/>
    </xf>
    <xf numFmtId="49" fontId="3" fillId="3" borderId="3" applyNumberFormat="1" applyFont="1" applyFill="1" applyBorder="1" applyAlignment="1" applyProtection="0">
      <alignment vertical="center"/>
    </xf>
    <xf numFmtId="2" fontId="0" fillId="3" borderId="3" applyNumberFormat="1" applyFont="1" applyFill="1" applyBorder="1" applyAlignment="1" applyProtection="0">
      <alignment vertical="bottom" wrapText="1"/>
    </xf>
    <xf numFmtId="2" fontId="3" fillId="3" borderId="1" applyNumberFormat="1" applyFont="1" applyFill="1" applyBorder="1" applyAlignment="1" applyProtection="0">
      <alignment horizontal="right" vertical="center" wrapText="1"/>
    </xf>
    <xf numFmtId="49" fontId="4" fillId="3" borderId="1" applyNumberFormat="1" applyFont="1" applyFill="1" applyBorder="1" applyAlignment="1" applyProtection="0">
      <alignment horizontal="center" vertical="bottom"/>
    </xf>
    <xf numFmtId="49" fontId="4" fillId="3" borderId="1" applyNumberFormat="1" applyFont="1" applyFill="1" applyBorder="1" applyAlignment="1" applyProtection="0">
      <alignment horizontal="center" vertical="bottom" wrapText="1"/>
    </xf>
    <xf numFmtId="49" fontId="4" fillId="3" borderId="2" applyNumberFormat="1" applyFont="1" applyFill="1" applyBorder="1" applyAlignment="1" applyProtection="0">
      <alignment horizontal="center" vertical="bottom"/>
    </xf>
    <xf numFmtId="49" fontId="4" fillId="3" borderId="2" applyNumberFormat="1" applyFont="1" applyFill="1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1" fontId="3" fillId="3" borderId="3" applyNumberFormat="1" applyFont="1" applyFill="1" applyBorder="1" applyAlignment="1" applyProtection="0">
      <alignment horizontal="center" vertical="center"/>
    </xf>
    <xf numFmtId="49" fontId="5" fillId="4" borderId="3" applyNumberFormat="1" applyFont="1" applyFill="1" applyBorder="1" applyAlignment="1" applyProtection="0">
      <alignment vertical="center"/>
    </xf>
    <xf numFmtId="2" fontId="5" fillId="4" borderId="3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472c4"/>
      <rgbColor rgb="ffffffff"/>
      <rgbColor rgb="ff0563c1"/>
      <rgbColor rgb="ff434343"/>
      <rgbColor rgb="fff4cc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pollen-robotics/PincOpen/tree/main/cad" TargetMode="External"/><Relationship Id="rId2" Type="http://schemas.openxmlformats.org/officeDocument/2006/relationships/hyperlink" Target="https://github.com/pollen-robotics/PincOpen/tree/main/cad" TargetMode="External"/><Relationship Id="rId3" Type="http://schemas.openxmlformats.org/officeDocument/2006/relationships/hyperlink" Target="https://github.com/pollen-robotics/PincOpen/tree/main/cad" TargetMode="External"/><Relationship Id="rId4" Type="http://schemas.openxmlformats.org/officeDocument/2006/relationships/hyperlink" Target="https://github.com/pollen-robotics/PincOpen/tree/main/cad" TargetMode="External"/><Relationship Id="rId5" Type="http://schemas.openxmlformats.org/officeDocument/2006/relationships/hyperlink" Target="https://github.com/pollen-robotics/PincOpen/tree/main/cad" TargetMode="External"/><Relationship Id="rId6" Type="http://schemas.openxmlformats.org/officeDocument/2006/relationships/hyperlink" Target="https://github.com/pollen-robotics/PincOpen/tree/main/cad" TargetMode="External"/><Relationship Id="rId7" Type="http://schemas.openxmlformats.org/officeDocument/2006/relationships/hyperlink" Target="https://github.com/pollen-robotics/PincOpen/tree/main/cad" TargetMode="External"/><Relationship Id="rId8" Type="http://schemas.openxmlformats.org/officeDocument/2006/relationships/hyperlink" Target="https://github.com/pollen-robotics/PincOpen/tree/main/cad" TargetMode="External"/><Relationship Id="rId9" Type="http://schemas.openxmlformats.org/officeDocument/2006/relationships/hyperlink" Target="https://www.amazon.fr/Suoumwa-Servos-STS3215-Robotique-SO-ARM100/dp/B0F131YB1Z" TargetMode="External"/><Relationship Id="rId10" Type="http://schemas.openxmlformats.org/officeDocument/2006/relationships/hyperlink" Target="https://www.gotronic.fr/art-servo-serie-360-deg-12v-48041.htm" TargetMode="External"/><Relationship Id="rId11" Type="http://schemas.openxmlformats.org/officeDocument/2006/relationships/hyperlink" Target="https://www.digikey.ch/en/products/detail/cvilux-usa/DH-20M50052/13177409" TargetMode="External"/><Relationship Id="rId12" Type="http://schemas.openxmlformats.org/officeDocument/2006/relationships/hyperlink" Target="https://www.digikey.ch/en/products/detail/jst-sales-america-inc/A04SR04SR30K254A/9922185" TargetMode="External"/><Relationship Id="rId13" Type="http://schemas.openxmlformats.org/officeDocument/2006/relationships/hyperlink" Target="https://www.digikey.com/en/products/detail/molex/0151341401/7929160?s=N4IgTCBcDaIDoBcAEAFAkgYQPICEAyAggCICiSAjACxIZoBKGAqmgCoUAM7AtlyALoBfIA" TargetMode="External"/><Relationship Id="rId14" Type="http://schemas.openxmlformats.org/officeDocument/2006/relationships/hyperlink" Target="https://ampul.eu/fr/alimentations-enfichables/3231-alimentation-electrique-12v-5a-55x25mm" TargetMode="External"/><Relationship Id="rId15" Type="http://schemas.openxmlformats.org/officeDocument/2006/relationships/hyperlink" Target="https://www.amazon.com.be/-/en/DollaTek-128x128-Display-screen-Arduino/dp/B07QJ27XFC/ref=sr_1_2?crid=BTJXQZDPMBDS&amp;dib=eyJ2IjoiMSJ9.Rk_jF657UqbXTJtwx2muhzWAGwrpQl89e32AvCcLeW1PwaL4_UarC5lF2wqVvgUnteqIrsa0kLJKoUpP06U3Td0-xHuIYaBe9AM-hwRhuYd_jnNO2LhqzF6_a9Wmk-xaNHOln-qwD5bOCiglAncRv6SbUk7GCJqJ2aB66pTltpeJ0FjQGQT3kdP4s0-MMj7zl32OtfeU1N_FLjFzh0jgvhoh16YLu7HoOTNEVAnCFSFvefoxEFwbXkYXsLRp0HsMDIHHF5MsCNJrTor4hi2_tJ6qtjD6OC6FmUxfP8O5-oI.Ge1_t4pIeZI_8GtfZ6WJr32NjeDN7HG4eZOtSoFSAB8&amp;dib_tag=se&amp;keywords=LCD+screen+ST7735&amp;qid=1779795716&amp;sprefix=lcd+screen+st7735,aps,81&amp;sr=8-2" TargetMode="External"/><Relationship Id="rId16" Type="http://schemas.openxmlformats.org/officeDocument/2006/relationships/hyperlink" Target="https://www.ebay.de/itm/306660440487?mkevt=1&amp;mkpid=0&amp;emsid=e11400.m144671.l197929&amp;mkcid=7&amp;ch=osgood&amp;euid=400cb74beeef430e8a11d94d687aaa49&amp;bu=45757045539&amp;exe=0&amp;ext=0&amp;osub=-1~1&amp;crd=20260407073324&amp;segname=11400" TargetMode="External"/><Relationship Id="rId17" Type="http://schemas.openxmlformats.org/officeDocument/2006/relationships/hyperlink" Target="https://www.digikey.ch/en/products/detail/sparkfun-electronics/09032/6823623" TargetMode="External"/><Relationship Id="rId18" Type="http://schemas.openxmlformats.org/officeDocument/2006/relationships/hyperlink" Target="https://www.digikey.com/en/products/detail/tt-electronics-bi/P120PK-Y25BR10K/5957454" TargetMode="External"/><Relationship Id="rId19" Type="http://schemas.openxmlformats.org/officeDocument/2006/relationships/hyperlink" Target="https://www.digikey.com/en/products/detail/sullins-connector-solutions/PPTC081LFBN-RC/810147" TargetMode="External"/><Relationship Id="rId20" Type="http://schemas.openxmlformats.org/officeDocument/2006/relationships/hyperlink" Target="https://www.amazon.com.be/Roulement-aiguille-acier-localisation-cylindrique/dp/B0DBHTC7MG?th=1" TargetMode="External"/><Relationship Id="rId21" Type="http://schemas.openxmlformats.org/officeDocument/2006/relationships/hyperlink" Target="https://www.vital-parts.co.uk/rounded-parallel-pins-din-7/4762-dow7-3-16-a1" TargetMode="External"/><Relationship Id="rId22" Type="http://schemas.openxmlformats.org/officeDocument/2006/relationships/hyperlink" Target="https://www.amazon.com.be/-/en/ByNGSDCC/dp/B0G25J2RR8/ref=sr_1_1?crid=1K0TJUON5NSII&amp;dib=eyJ2IjoiMSJ9.evOq-1hDOWUxBM7SdxOkZ7MuxRewon0nbaoM9VsPKd9ABBiubO795LWucNbJJxpGWR59pNgBQaw7UZlQTbKQRLICPKMEUwC3qHhGKB9BOGmkbgToiJ35mv1uoq64cck2imacoAAJiEtddCkncPTucMv2ZxoQElnBUIwIUebRPRP9NekcDAjcUKDqgG03zvuI0aaHICsEqk5sHwZ3Kk18BCaUS-Q3OBSl31TcJl8V6Yv-8YWPsf3qlkUJ93Rdr5r-jfDUUDf4YU3rTYhI9_fBgvX0og2zQOMeX6cO6p_lz3U.9pGbnL87FNFVwXOL1EA5Uh59NsFaZ3sppz6-bKI-mRg&amp;dib_tag=se&amp;keywords=100pcs+3mm+Bearing+Steel+Cylindrical+Pin+Locating+Pin+Needle+Roller+Thimble+Length+5+6+7+8+10+12+14+16+18+20+22+24+26+28-40mm+(M3x24mm+100pcs)&amp;qid=1771922082&amp;s=industrial&amp;sprefix=100pcs+3mm+bearing+steel+cylindrical+pin+locating+pin+needle+roller+thimble+length+5+6+7+8+10+12+14+16+18+20+22+24+26+28-40mm+m3x24mm+100pcs+,industrial,70&amp;sr=1-1&amp;th=1" TargetMode="External"/><Relationship Id="rId23" Type="http://schemas.openxmlformats.org/officeDocument/2006/relationships/hyperlink" Target="https://www.vital-parts.co.uk/rounded-parallel-pins-din-7/4769-dow7-3-24-a4" TargetMode="External"/><Relationship Id="rId24" Type="http://schemas.openxmlformats.org/officeDocument/2006/relationships/hyperlink" Target="https://www.amazon.com.be/M%C3%A9tallurgie-poudres-Doublure-Diam%C3%A8tre-int%C3%A9rieur/dp/B0DFW71NB1?th=1" TargetMode="External"/><Relationship Id="rId25" Type="http://schemas.openxmlformats.org/officeDocument/2006/relationships/hyperlink" Target="https://nl.aliexpress.com/item/1005005270665270.html?spm=a2g0o.productlist.main.42.5cf5YwL6YwL6pq&amp;algo_pvid=a1b2f9ee-35b5-4c73-9e27-5a7035bd43fb&amp;algo_exp_id=a1b2f9ee-35b5-4c73-9e27-5a7035bd43fb-41&amp;pdp_ext_f=%7B%22order%22:%22275%22,%22eval%22:%221%22%7D&amp;pdp_npi=4@dis!EUR!2.62!2.61!!!2.68!2.67!@21015b7d17401246487724730e0309!12000032464607174!sea!FR!807275436!X&amp;curPageLogUid=FNW5BpFTOCTy&amp;utparam-url=scene:search%7Cquery_from:&amp;gatewayAdapt=fra2nld" TargetMode="External"/><Relationship Id="rId26" Type="http://schemas.openxmlformats.org/officeDocument/2006/relationships/hyperlink" Target="https://www.amazon.com.be/Xuro-autotaraudeuses-frais%C3%A9e-cruciforme-carbone/dp/B0FPBLRTVZ?th=1" TargetMode="External"/><Relationship Id="rId27" Type="http://schemas.openxmlformats.org/officeDocument/2006/relationships/hyperlink" Target="https://fr.aliexpress.com/item/1005006883251273.html?spm=a2g0o.order_list.order_list_main.10.49755e5biuWgGJ&amp;gatewayAdapt=glo2fra" TargetMode="External"/><Relationship Id="rId28" Type="http://schemas.openxmlformats.org/officeDocument/2006/relationships/hyperlink" Target="https://www.amazon.com.be/Lot-t%C3%AAte-cylindrique-pans-creux/dp/B0DQV56D6V?th=1" TargetMode="External"/><Relationship Id="rId29" Type="http://schemas.openxmlformats.org/officeDocument/2006/relationships/hyperlink" Target="https://befr.rs-online.com/web/p/socket-screws/8740999" TargetMode="External"/><Relationship Id="rId30" Type="http://schemas.openxmlformats.org/officeDocument/2006/relationships/hyperlink" Target="https://www.amazon.com.be/dp/B0FVM6ZV7Y?ref=ppx_yo2ov_dt_b_fed_asin_title&amp;th=1" TargetMode="External"/><Relationship Id="rId31" Type="http://schemas.openxmlformats.org/officeDocument/2006/relationships/hyperlink" Target="https://fr.rs-online.com/web/p/vis-a-metaux/0190434" TargetMode="External"/><Relationship Id="rId32" Type="http://schemas.openxmlformats.org/officeDocument/2006/relationships/hyperlink" Target="https://befr.rs-online.com/web/p/hex-nuts/0560271" TargetMode="External"/><Relationship Id="rId33" Type="http://schemas.openxmlformats.org/officeDocument/2006/relationships/hyperlink" Target="https://www.amazon.com.be/dinsertion-filetage-imprimante-thermique-thermofusible/dp/B0DM2QWXVG?th=1" TargetMode="External"/><Relationship Id="rId34" Type="http://schemas.openxmlformats.org/officeDocument/2006/relationships/hyperlink" Target="https://www.amazon.com.be/dinsertion-filetage-imprimante-thermique-thermofusible/dp/B0DM2LXDTD?th=1" TargetMode="External"/><Relationship Id="rId35" Type="http://schemas.openxmlformats.org/officeDocument/2006/relationships/hyperlink" Target="https://www.amazon.com.be/-/en/QUARKZMAN-Wrench-L-Shaped-Wrenches-Vanadium/dp/B0D4QRXJ42/ref=sr_1_1?crid=343UEBQEDTXZC&amp;dib=eyJ2IjoiMSJ9.oJpNzHoRbTV1cfqoJhxmY2GJD9bpGZ2z0N6LkxxonYtPwrcXrlnB3yAk7dnAsoBmuf9dU-VGl1LJSq3Tk3pjaZ0FloantZfjNZBpmr3lGT0o6yIKryAuw-271JpS2ds8KMxAdbQgdYUsepnktal43YOBateRIhQxH5K_FzycT_wx2rteTBH7reoCCjToiTjrYk2RR7H7pRWE9IvPqPVY64ZJJMId3m-YqGrMPfIwp3g.g-ZLyteIxKJlCI_g7RPYw8oSWwnJaQosxCVfBZAQEmc&amp;dib_tag=se&amp;keywords=QUARKZMAN+10Pcs+L-Shaped+Hex+Wrench+2,5mm+Hex&amp;qid=1774602459&amp;s=home-improvement&amp;sprefix=quarkzman+10pcs+l-shaped+hex+wrench+2+5mm+hex+,home-improvement,132&amp;sr=1-1" TargetMode="External"/><Relationship Id="rId36" Type="http://schemas.openxmlformats.org/officeDocument/2006/relationships/hyperlink" Target="https://www.amazon.com.be/-/en/Dual-component-Phillips-screwdriver-No-100/dp/B0B2SBSQL6/ref=sr_1_17?crid=5MNSNDZ03EZU&amp;dib=eyJ2IjoiMSJ9.RhiH7-Fl6HEkMtxx0ggnsOVddqlGqW08LjWaxT7UjyrPjVu5Pu3n22jO9pgT6X4teW0uaOxeV3ctL-8bN2kFuWn-0yEX0tRAZCwxfSpthnVKrj5bAjf-P29Us9hXCAIYiuqGrNwrZCud_brGQcwmaDB8lPjY2R89U0Vo0HXDkXjDapBc4xNQjefzdazAAaEooZpep8z9DaCYSNrYe7OXiC05VTT5QxEJ1b1cuCahqJSSB_lHk5LxLR9SXhSOnXwkhK4bO4-mT8COfNrg_tFtc6TEbzcopP-KEctq2Yb3Qns.a6cTngq4kKIHKWScTlo51ypwjkqDx5Pwsl1aMr3Kmsw&amp;dib_tag=se&amp;keywords=Phillips+screwdriver&amp;qid=1779797082&amp;s=electronics&amp;sprefix=phillips+screwdriver,electronics,112&amp;sr=1-17" TargetMode="External"/><Relationship Id="rId37" Type="http://schemas.openxmlformats.org/officeDocument/2006/relationships/hyperlink" Target="https://www.amazon.com.be/-/en/Kurtzy-Wooden-Cube-Pieces-Construction/dp/B01BSQ75HA/ref=sr_1_1?crid=1O1H2Z67TJCYZ&amp;dib=eyJ2IjoiMSJ9.5_JZ3X69HAKt_LRYhhqwiuTFToT4WBeLbR-p-rUGknwlVocSijwZ1xqpSqmkPaUAEr2qXZqjh1B9nNbNVSt2_989JvamrBSdmi6d_Bstx_7LEobERXbGRejdUKy6MAQmVUUJJTJRV-OKGCQEBzw4OaPnrtZxRlEgmPe8jv4nKBVDoYutvaKhbi27SOb-51GjxZRuyWYyrQq_Eu9nEWGijfuvmElJXSzgUq0qHwNVvbo.VYMg-EAhA-xuLkFszWW5k1jb3-Ei6I45asZs33x6aLU&amp;dib_tag=se&amp;keywords=wooden+cube&amp;qid=1774449208&amp;s=home&amp;sprefix=wooden+cube,kitchen,106&amp;sr=1-1" TargetMode="External"/><Relationship Id="rId38" Type="http://schemas.openxmlformats.org/officeDocument/2006/relationships/hyperlink" Target="https://www.amazon.com.be/-/en/Disposable-Plastic-Parties-Birthdays-Hygiene/dp/B08SWMKJ9Z/ref=sr_1_2?crid=6XMFS7PRQ1V7&amp;dib=eyJ2IjoiMSJ9.07r1R1k7h3PxeymzS-7SeqblI5D2ytNf3yksIsh0mLSTWSRLeVNnY94hsIHbFpND0ODaq_XDr_bCo-_n04hPyi0JKJHmLHUaEynzc2MzGZmxS_X92NMNs8OCUD1CKHRBLbe_mAbly3wlSY0l4IGgCzJqnKPWp15j8d3lYbJHD74Why1sSo3KggiY8R0EwaukqMIKWg4E2QTfQpGgfvUJlP_lzWQ1ZQ0Er2igXr0QZfA.NW1wUhu8HKUfRzCQ7FFyoanPRVbuv3Qo1zGREAIBULA&amp;dib_tag=se&amp;keywords=white+plastic+cup&amp;qid=1774449979&amp;s=home&amp;sprefix=white+plastic+cup,kitchen,95&amp;sr=1-2&amp;xpid=BVlRCR8V37L47" TargetMode="External"/><Relationship Id="rId39" Type="http://schemas.openxmlformats.org/officeDocument/2006/relationships/hyperlink" Target="https://www.amazon.com.be/-/en/SPONTEX-vegetable-Packaging-recycled-plastqiue/dp/B0CV46TVY5/ref=pd_day0_d_sccl_1_33/257-5934750-9795218?pd_rd_w=H1mzt&amp;content-id=amzn1.sym.bb494ab2-eb3e-49e2-8a95-4f478fdb288d&amp;pf_rd_p=bb494ab2-eb3e-49e2-8a95-4f478fdb288d&amp;pf_rd_r=32PMZY8SSDW8ADQBWH6R&amp;pd_rd_wg=fXMyX&amp;pd_rd_r=5129d6a1-c8eb-42ae-84a3-277709378df3&amp;pd_rd_i=B0CV46TVY5&amp;psc=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8.66667" defaultRowHeight="15" customHeight="1" outlineLevelRow="0" outlineLevelCol="0"/>
  <cols>
    <col min="1" max="1" width="17" style="1" customWidth="1"/>
    <col min="2" max="2" width="50.5" style="1" customWidth="1"/>
    <col min="3" max="4" width="23.8516" style="1" customWidth="1"/>
    <col min="5" max="5" width="27" style="1" customWidth="1"/>
    <col min="6" max="6" width="141.672" style="1" customWidth="1"/>
    <col min="7" max="7" width="13.8516" style="1" customWidth="1"/>
    <col min="8" max="16384" width="8.67188" style="1" customWidth="1"/>
  </cols>
  <sheetData>
    <row r="1" ht="30.7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2">
        <v>5</v>
      </c>
      <c r="G1" t="s" s="4">
        <v>6</v>
      </c>
    </row>
    <row r="2" ht="15" customHeight="1">
      <c r="A2" t="s" s="5">
        <v>7</v>
      </c>
      <c r="B2" t="s" s="5">
        <v>8</v>
      </c>
      <c r="C2" s="6">
        <v>1</v>
      </c>
      <c r="D2" t="s" s="7">
        <v>9</v>
      </c>
      <c r="E2" t="s" s="8">
        <v>10</v>
      </c>
      <c r="F2" t="s" s="9">
        <v>11</v>
      </c>
      <c r="G2" s="10">
        <v>0.74</v>
      </c>
    </row>
    <row r="3" ht="15" customHeight="1">
      <c r="A3" t="s" s="5">
        <v>12</v>
      </c>
      <c r="B3" t="s" s="11">
        <v>13</v>
      </c>
      <c r="C3" s="6">
        <v>1</v>
      </c>
      <c r="D3" t="s" s="7">
        <v>9</v>
      </c>
      <c r="E3" t="s" s="8">
        <v>10</v>
      </c>
      <c r="F3" t="s" s="9">
        <v>11</v>
      </c>
      <c r="G3" s="10">
        <v>0.1</v>
      </c>
    </row>
    <row r="4" ht="15" customHeight="1">
      <c r="A4" t="s" s="5">
        <v>14</v>
      </c>
      <c r="B4" t="s" s="11">
        <v>15</v>
      </c>
      <c r="C4" s="6">
        <v>1</v>
      </c>
      <c r="D4" t="s" s="7">
        <v>9</v>
      </c>
      <c r="E4" t="s" s="8">
        <v>10</v>
      </c>
      <c r="F4" t="s" s="9">
        <v>11</v>
      </c>
      <c r="G4" s="10">
        <v>0.66</v>
      </c>
    </row>
    <row r="5" ht="15" customHeight="1">
      <c r="A5" t="s" s="5">
        <v>16</v>
      </c>
      <c r="B5" t="s" s="11">
        <v>17</v>
      </c>
      <c r="C5" s="6">
        <v>2</v>
      </c>
      <c r="D5" t="s" s="7">
        <v>9</v>
      </c>
      <c r="E5" t="s" s="8">
        <v>10</v>
      </c>
      <c r="F5" t="s" s="9">
        <v>11</v>
      </c>
      <c r="G5" s="10">
        <v>0.24</v>
      </c>
    </row>
    <row r="6" ht="15" customHeight="1">
      <c r="A6" t="s" s="5">
        <v>18</v>
      </c>
      <c r="B6" t="s" s="11">
        <v>19</v>
      </c>
      <c r="C6" s="6">
        <v>2</v>
      </c>
      <c r="D6" t="s" s="7">
        <v>9</v>
      </c>
      <c r="E6" t="s" s="8">
        <v>10</v>
      </c>
      <c r="F6" t="s" s="9">
        <v>11</v>
      </c>
      <c r="G6" s="10">
        <v>0.08</v>
      </c>
    </row>
    <row r="7" ht="15" customHeight="1">
      <c r="A7" t="s" s="5">
        <v>20</v>
      </c>
      <c r="B7" t="s" s="11">
        <v>21</v>
      </c>
      <c r="C7" s="6">
        <v>2</v>
      </c>
      <c r="D7" t="s" s="7">
        <v>9</v>
      </c>
      <c r="E7" t="s" s="8">
        <v>10</v>
      </c>
      <c r="F7" t="s" s="9">
        <v>11</v>
      </c>
      <c r="G7" s="10">
        <v>0.07000000000000001</v>
      </c>
    </row>
    <row r="8" ht="15" customHeight="1">
      <c r="A8" t="s" s="5">
        <v>22</v>
      </c>
      <c r="B8" t="s" s="11">
        <v>23</v>
      </c>
      <c r="C8" s="6">
        <v>2</v>
      </c>
      <c r="D8" t="s" s="7">
        <v>9</v>
      </c>
      <c r="E8" t="s" s="8">
        <v>10</v>
      </c>
      <c r="F8" t="s" s="9">
        <v>11</v>
      </c>
      <c r="G8" s="10">
        <v>0.06</v>
      </c>
    </row>
    <row r="9" ht="15" customHeight="1">
      <c r="A9" t="s" s="5">
        <v>24</v>
      </c>
      <c r="B9" t="s" s="11">
        <v>25</v>
      </c>
      <c r="C9" s="6">
        <v>2</v>
      </c>
      <c r="D9" t="s" s="7">
        <v>9</v>
      </c>
      <c r="E9" t="s" s="7">
        <v>26</v>
      </c>
      <c r="F9" t="s" s="9">
        <v>27</v>
      </c>
      <c r="G9" s="10">
        <v>0.07000000000000001</v>
      </c>
    </row>
    <row r="10" ht="15" customHeight="1">
      <c r="A10" t="s" s="5">
        <v>28</v>
      </c>
      <c r="B10" t="s" s="11">
        <v>29</v>
      </c>
      <c r="C10" s="6">
        <v>2</v>
      </c>
      <c r="D10" t="s" s="7">
        <v>9</v>
      </c>
      <c r="E10" t="s" s="7">
        <v>26</v>
      </c>
      <c r="F10" t="s" s="9">
        <v>27</v>
      </c>
      <c r="G10" s="10">
        <v>0.1</v>
      </c>
    </row>
    <row r="11" ht="15" customHeight="1">
      <c r="A11" t="s" s="5">
        <v>30</v>
      </c>
      <c r="B11" t="s" s="11">
        <v>31</v>
      </c>
      <c r="C11" s="6">
        <v>1</v>
      </c>
      <c r="D11" t="s" s="7">
        <v>9</v>
      </c>
      <c r="E11" t="s" s="8">
        <v>10</v>
      </c>
      <c r="F11" t="s" s="9">
        <v>11</v>
      </c>
      <c r="G11" s="10">
        <v>0.03</v>
      </c>
    </row>
    <row r="12" ht="15" customHeight="1">
      <c r="A12" t="s" s="5">
        <v>32</v>
      </c>
      <c r="B12" t="s" s="5">
        <v>33</v>
      </c>
      <c r="C12" s="6">
        <v>1</v>
      </c>
      <c r="D12" t="s" s="7">
        <v>9</v>
      </c>
      <c r="E12" t="s" s="7">
        <v>26</v>
      </c>
      <c r="F12" t="s" s="9">
        <v>34</v>
      </c>
      <c r="G12" s="10">
        <v>3.92</v>
      </c>
    </row>
    <row r="13" ht="15" customHeight="1">
      <c r="A13" t="s" s="5">
        <v>35</v>
      </c>
      <c r="B13" t="s" s="5">
        <v>36</v>
      </c>
      <c r="C13" s="6">
        <v>1</v>
      </c>
      <c r="D13" t="s" s="7">
        <v>9</v>
      </c>
      <c r="E13" t="s" s="7">
        <v>26</v>
      </c>
      <c r="F13" t="s" s="9">
        <v>37</v>
      </c>
      <c r="G13" s="10">
        <v>0.35</v>
      </c>
    </row>
    <row r="14" ht="15" customHeight="1">
      <c r="A14" t="s" s="5">
        <v>38</v>
      </c>
      <c r="B14" t="s" s="5">
        <v>39</v>
      </c>
      <c r="C14" s="6">
        <v>1</v>
      </c>
      <c r="D14" t="s" s="7">
        <v>9</v>
      </c>
      <c r="E14" t="s" s="7">
        <v>26</v>
      </c>
      <c r="F14" t="s" s="9">
        <v>40</v>
      </c>
      <c r="G14" s="10">
        <v>0.48</v>
      </c>
    </row>
    <row r="15" ht="16" customHeight="1">
      <c r="A15" t="s" s="12">
        <v>41</v>
      </c>
      <c r="B15" t="s" s="12">
        <v>42</v>
      </c>
      <c r="C15" s="13">
        <v>1</v>
      </c>
      <c r="D15" t="s" s="14">
        <v>9</v>
      </c>
      <c r="E15" t="s" s="14">
        <v>26</v>
      </c>
      <c r="F15" t="s" s="15">
        <v>43</v>
      </c>
      <c r="G15" s="16">
        <v>0.07000000000000001</v>
      </c>
    </row>
    <row r="16" ht="16" customHeight="1">
      <c r="A16" t="s" s="17">
        <v>44</v>
      </c>
      <c r="B16" t="s" s="17">
        <v>45</v>
      </c>
      <c r="C16" s="18">
        <v>1</v>
      </c>
      <c r="D16" t="s" s="19">
        <v>46</v>
      </c>
      <c r="E16" t="s" s="20">
        <v>47</v>
      </c>
      <c r="F16" t="s" s="21">
        <v>48</v>
      </c>
      <c r="G16" s="22">
        <v>23.9</v>
      </c>
    </row>
    <row r="17" ht="15" customHeight="1">
      <c r="A17" t="s" s="9">
        <v>49</v>
      </c>
      <c r="B17" t="s" s="9">
        <v>50</v>
      </c>
      <c r="C17" s="6">
        <v>1</v>
      </c>
      <c r="D17" t="s" s="7">
        <v>9</v>
      </c>
      <c r="E17" t="s" s="8">
        <v>51</v>
      </c>
      <c r="F17" t="s" s="5">
        <v>52</v>
      </c>
      <c r="G17" s="10">
        <v>1.57</v>
      </c>
    </row>
    <row r="18" ht="15" customHeight="1">
      <c r="A18" t="s" s="9">
        <v>53</v>
      </c>
      <c r="B18" t="s" s="9">
        <v>54</v>
      </c>
      <c r="C18" s="6">
        <v>2</v>
      </c>
      <c r="D18" t="s" s="7">
        <v>9</v>
      </c>
      <c r="E18" t="s" s="7">
        <v>55</v>
      </c>
      <c r="F18" t="s" s="9">
        <v>56</v>
      </c>
      <c r="G18" s="10">
        <v>55.75</v>
      </c>
    </row>
    <row r="19" ht="15" customHeight="1">
      <c r="A19" t="s" s="9">
        <v>57</v>
      </c>
      <c r="B19" t="s" s="9">
        <v>58</v>
      </c>
      <c r="C19" s="6">
        <v>2</v>
      </c>
      <c r="D19" t="s" s="7">
        <v>9</v>
      </c>
      <c r="E19" t="s" s="7">
        <v>9</v>
      </c>
      <c r="F19" t="s" s="9">
        <v>59</v>
      </c>
      <c r="G19" s="23">
        <v>3</v>
      </c>
    </row>
    <row r="20" ht="15" customHeight="1">
      <c r="A20" t="s" s="9">
        <v>60</v>
      </c>
      <c r="B20" t="s" s="9">
        <v>61</v>
      </c>
      <c r="C20" s="6">
        <v>2</v>
      </c>
      <c r="D20" t="s" s="7">
        <v>9</v>
      </c>
      <c r="E20" t="s" s="24">
        <v>51</v>
      </c>
      <c r="F20" t="s" s="9">
        <v>62</v>
      </c>
      <c r="G20" s="10">
        <v>2.76</v>
      </c>
    </row>
    <row r="21" ht="15" customHeight="1">
      <c r="A21" t="s" s="9">
        <v>63</v>
      </c>
      <c r="B21" t="s" s="9">
        <v>64</v>
      </c>
      <c r="C21" s="6">
        <v>1</v>
      </c>
      <c r="D21" t="s" s="7">
        <v>9</v>
      </c>
      <c r="E21" t="s" s="24">
        <v>51</v>
      </c>
      <c r="F21" t="s" s="9">
        <v>65</v>
      </c>
      <c r="G21" s="10">
        <v>6.26</v>
      </c>
    </row>
    <row r="22" ht="15" customHeight="1">
      <c r="A22" t="s" s="9">
        <v>66</v>
      </c>
      <c r="B22" t="s" s="9">
        <v>67</v>
      </c>
      <c r="C22" s="6">
        <v>1</v>
      </c>
      <c r="D22" t="s" s="7">
        <v>9</v>
      </c>
      <c r="E22" t="s" s="8">
        <v>68</v>
      </c>
      <c r="F22" t="s" s="9">
        <v>69</v>
      </c>
      <c r="G22" s="10">
        <v>15.72</v>
      </c>
    </row>
    <row r="23" ht="15" customHeight="1">
      <c r="A23" t="s" s="9">
        <v>70</v>
      </c>
      <c r="B23" t="s" s="9">
        <v>71</v>
      </c>
      <c r="C23" s="6">
        <v>1</v>
      </c>
      <c r="D23" t="s" s="7">
        <v>9</v>
      </c>
      <c r="E23" t="s" s="7">
        <v>9</v>
      </c>
      <c r="F23" t="s" s="9">
        <v>72</v>
      </c>
      <c r="G23" s="10">
        <v>40</v>
      </c>
    </row>
    <row r="24" ht="15" customHeight="1">
      <c r="A24" t="s" s="9">
        <v>73</v>
      </c>
      <c r="B24" t="s" s="9">
        <v>74</v>
      </c>
      <c r="C24" s="6">
        <v>1</v>
      </c>
      <c r="D24" t="s" s="7">
        <v>9</v>
      </c>
      <c r="E24" t="s" s="7">
        <v>9</v>
      </c>
      <c r="F24" t="s" s="9">
        <v>75</v>
      </c>
      <c r="G24" s="10">
        <v>10</v>
      </c>
    </row>
    <row r="25" ht="15" customHeight="1">
      <c r="A25" t="s" s="9">
        <v>76</v>
      </c>
      <c r="B25" t="s" s="9">
        <v>77</v>
      </c>
      <c r="C25" s="6">
        <v>1</v>
      </c>
      <c r="D25" t="s" s="8">
        <v>78</v>
      </c>
      <c r="E25" t="s" s="25">
        <v>79</v>
      </c>
      <c r="F25" t="s" s="9">
        <v>80</v>
      </c>
      <c r="G25" s="10">
        <v>5.38</v>
      </c>
    </row>
    <row r="26" ht="15" customHeight="1">
      <c r="A26" t="s" s="9">
        <v>81</v>
      </c>
      <c r="B26" t="s" s="9">
        <v>82</v>
      </c>
      <c r="C26" s="6">
        <v>1</v>
      </c>
      <c r="D26" t="s" s="7">
        <v>9</v>
      </c>
      <c r="E26" t="s" s="8">
        <v>51</v>
      </c>
      <c r="F26" t="s" s="9">
        <v>83</v>
      </c>
      <c r="G26" s="10">
        <v>4.59</v>
      </c>
    </row>
    <row r="27" ht="15" customHeight="1">
      <c r="A27" t="s" s="9">
        <v>84</v>
      </c>
      <c r="B27" t="s" s="9">
        <v>85</v>
      </c>
      <c r="C27" s="6">
        <v>1</v>
      </c>
      <c r="D27" t="s" s="7">
        <v>9</v>
      </c>
      <c r="E27" t="s" s="24">
        <v>51</v>
      </c>
      <c r="F27" t="s" s="9">
        <v>86</v>
      </c>
      <c r="G27" s="10">
        <v>1.22</v>
      </c>
    </row>
    <row r="28" ht="16" customHeight="1">
      <c r="A28" t="s" s="15">
        <v>87</v>
      </c>
      <c r="B28" t="s" s="15">
        <v>88</v>
      </c>
      <c r="C28" s="13">
        <v>1</v>
      </c>
      <c r="D28" t="s" s="14">
        <v>9</v>
      </c>
      <c r="E28" t="s" s="26">
        <v>51</v>
      </c>
      <c r="F28" t="s" s="15">
        <v>89</v>
      </c>
      <c r="G28" s="16">
        <v>0.5</v>
      </c>
    </row>
    <row r="29" ht="16" customHeight="1">
      <c r="A29" t="s" s="17">
        <v>90</v>
      </c>
      <c r="B29" t="s" s="17">
        <v>91</v>
      </c>
      <c r="C29" s="18">
        <v>4</v>
      </c>
      <c r="D29" t="s" s="19">
        <v>92</v>
      </c>
      <c r="E29" t="s" s="19">
        <v>93</v>
      </c>
      <c r="F29" t="s" s="21">
        <v>94</v>
      </c>
      <c r="G29" s="22" cm="1">
        <f t="array" ref="G29">C29*36.74/100</f>
        <v>1.4696</v>
      </c>
    </row>
    <row r="30" ht="15" customHeight="1">
      <c r="A30" t="s" s="5">
        <v>95</v>
      </c>
      <c r="B30" t="s" s="5">
        <v>96</v>
      </c>
      <c r="C30" s="6">
        <v>4</v>
      </c>
      <c r="D30" t="s" s="8">
        <v>97</v>
      </c>
      <c r="E30" t="s" s="8">
        <v>98</v>
      </c>
      <c r="F30" t="s" s="9">
        <v>94</v>
      </c>
      <c r="G30" s="10" cm="1">
        <f t="array" ref="G30">32.77*C30/100</f>
        <v>1.3108</v>
      </c>
    </row>
    <row r="31" ht="15" customHeight="1">
      <c r="A31" t="s" s="5">
        <v>99</v>
      </c>
      <c r="B31" t="s" s="5">
        <v>100</v>
      </c>
      <c r="C31" s="6">
        <v>4</v>
      </c>
      <c r="D31" t="s" s="8">
        <v>101</v>
      </c>
      <c r="E31" t="s" s="8">
        <v>102</v>
      </c>
      <c r="F31" t="s" s="9">
        <v>94</v>
      </c>
      <c r="G31" s="10">
        <v>1.06</v>
      </c>
    </row>
    <row r="32" ht="15" customHeight="1">
      <c r="A32" t="s" s="5">
        <v>103</v>
      </c>
      <c r="B32" t="s" s="5">
        <v>104</v>
      </c>
      <c r="C32" s="6">
        <v>24</v>
      </c>
      <c r="D32" t="s" s="8">
        <v>105</v>
      </c>
      <c r="E32" t="s" s="8">
        <v>102</v>
      </c>
      <c r="F32" t="s" s="9">
        <v>106</v>
      </c>
      <c r="G32" s="10" cm="1">
        <f t="array" ref="G32">10.24*C32/100</f>
        <v>2.4576</v>
      </c>
    </row>
    <row r="33" ht="15" customHeight="1">
      <c r="A33" t="s" s="5">
        <v>107</v>
      </c>
      <c r="B33" t="s" s="5">
        <v>108</v>
      </c>
      <c r="C33" s="6">
        <v>4</v>
      </c>
      <c r="D33" t="s" s="8">
        <v>109</v>
      </c>
      <c r="E33" t="s" s="8">
        <v>110</v>
      </c>
      <c r="F33" t="s" s="9">
        <v>111</v>
      </c>
      <c r="G33" s="10" cm="1">
        <f t="array" ref="G33">6.17*C33/50</f>
        <v>0.4936</v>
      </c>
    </row>
    <row r="34" ht="15" customHeight="1">
      <c r="A34" t="s" s="5">
        <v>112</v>
      </c>
      <c r="B34" t="s" s="5">
        <v>113</v>
      </c>
      <c r="C34" s="6">
        <v>16</v>
      </c>
      <c r="D34" t="s" s="8">
        <v>114</v>
      </c>
      <c r="E34" t="s" s="8">
        <v>110</v>
      </c>
      <c r="F34" t="s" s="9">
        <v>115</v>
      </c>
      <c r="G34" s="10" cm="1">
        <f t="array" ref="G34">9.52*C34/100</f>
        <v>1.5232</v>
      </c>
    </row>
    <row r="35" ht="15" customHeight="1">
      <c r="A35" t="s" s="5">
        <v>116</v>
      </c>
      <c r="B35" t="s" s="9">
        <v>117</v>
      </c>
      <c r="C35" s="6">
        <v>4</v>
      </c>
      <c r="D35" t="s" s="7">
        <v>9</v>
      </c>
      <c r="E35" t="s" s="8">
        <v>110</v>
      </c>
      <c r="F35" t="s" s="9">
        <v>118</v>
      </c>
      <c r="G35" s="10" cm="1">
        <f t="array" ref="G35">7.48*C35/250</f>
        <v>0.11968</v>
      </c>
    </row>
    <row r="36" ht="15" customHeight="1">
      <c r="A36" t="s" s="5">
        <v>119</v>
      </c>
      <c r="B36" t="s" s="5">
        <v>120</v>
      </c>
      <c r="C36" s="6">
        <v>4</v>
      </c>
      <c r="D36" t="s" s="8">
        <v>121</v>
      </c>
      <c r="E36" t="s" s="7">
        <v>9</v>
      </c>
      <c r="F36" t="s" s="9">
        <v>111</v>
      </c>
      <c r="G36" s="10" cm="1">
        <f t="array" ref="G36">22.1*C36/50</f>
        <v>1.768</v>
      </c>
    </row>
    <row r="37" ht="16" customHeight="1">
      <c r="A37" t="s" s="12">
        <v>122</v>
      </c>
      <c r="B37" t="s" s="12">
        <v>123</v>
      </c>
      <c r="C37" s="13">
        <v>8</v>
      </c>
      <c r="D37" t="s" s="27">
        <v>124</v>
      </c>
      <c r="E37" t="s" s="14">
        <v>9</v>
      </c>
      <c r="F37" t="s" s="15">
        <v>125</v>
      </c>
      <c r="G37" s="16" cm="1">
        <f t="array" ref="G37">22.3*C37/50</f>
        <v>3.568</v>
      </c>
    </row>
    <row r="38" ht="16" customHeight="1">
      <c r="A38" t="s" s="21">
        <v>126</v>
      </c>
      <c r="B38" t="s" s="21">
        <v>127</v>
      </c>
      <c r="C38" s="18">
        <v>1</v>
      </c>
      <c r="D38" t="s" s="19">
        <v>128</v>
      </c>
      <c r="E38" t="s" s="28">
        <v>9</v>
      </c>
      <c r="F38" t="s" s="21">
        <v>129</v>
      </c>
      <c r="G38" s="22">
        <v>1</v>
      </c>
    </row>
    <row r="39" ht="16" customHeight="1">
      <c r="A39" t="s" s="15">
        <v>130</v>
      </c>
      <c r="B39" t="s" s="15">
        <v>131</v>
      </c>
      <c r="C39" s="13">
        <v>1</v>
      </c>
      <c r="D39" t="s" s="27">
        <v>132</v>
      </c>
      <c r="E39" t="s" s="14">
        <v>9</v>
      </c>
      <c r="F39" t="s" s="15">
        <v>133</v>
      </c>
      <c r="G39" s="16">
        <v>17.12</v>
      </c>
    </row>
    <row r="40" ht="16" customHeight="1">
      <c r="A40" t="s" s="21">
        <v>134</v>
      </c>
      <c r="B40" t="s" s="21">
        <v>135</v>
      </c>
      <c r="C40" s="18">
        <v>1</v>
      </c>
      <c r="D40" t="s" s="19">
        <v>136</v>
      </c>
      <c r="E40" t="s" s="28">
        <v>9</v>
      </c>
      <c r="F40" t="s" s="21">
        <v>137</v>
      </c>
      <c r="G40" s="22" cm="1">
        <f t="array" ref="G40">12.49*C40/30</f>
        <v>0.416333333333333</v>
      </c>
    </row>
    <row r="41" ht="15" customHeight="1">
      <c r="A41" t="s" s="9">
        <v>138</v>
      </c>
      <c r="B41" t="s" s="9">
        <v>139</v>
      </c>
      <c r="C41" s="6">
        <v>1</v>
      </c>
      <c r="D41" t="s" s="8">
        <v>140</v>
      </c>
      <c r="E41" t="s" s="7">
        <v>9</v>
      </c>
      <c r="F41" t="s" s="9">
        <v>141</v>
      </c>
      <c r="G41" s="10">
        <v>0.03</v>
      </c>
    </row>
    <row r="42" ht="16.5" customHeight="1">
      <c r="A42" t="s" s="15">
        <v>142</v>
      </c>
      <c r="B42" t="s" s="15">
        <v>143</v>
      </c>
      <c r="C42" s="13">
        <v>1</v>
      </c>
      <c r="D42" t="s" s="27">
        <v>144</v>
      </c>
      <c r="E42" t="s" s="14">
        <v>9</v>
      </c>
      <c r="F42" t="s" s="15">
        <v>145</v>
      </c>
      <c r="G42" s="16" cm="1">
        <f t="array" ref="G42">28.1*C42/10</f>
        <v>2.81</v>
      </c>
    </row>
    <row r="43" ht="16.5" customHeight="1">
      <c r="A43" s="18"/>
      <c r="B43" s="18"/>
      <c r="C43" s="18"/>
      <c r="D43" s="18"/>
      <c r="E43" s="29"/>
      <c r="F43" t="s" s="30">
        <v>146</v>
      </c>
      <c r="G43" s="31" cm="1">
        <f t="array" ref="G43">SUM(G2:G42)</f>
        <v>212.766813333333</v>
      </c>
    </row>
  </sheetData>
  <hyperlinks>
    <hyperlink ref="E2" r:id="rId1" location="" tooltip="" display="PincOpen Github"/>
    <hyperlink ref="E3" r:id="rId2" location="" tooltip="" display="PincOpen Github"/>
    <hyperlink ref="E4" r:id="rId3" location="" tooltip="" display="PincOpen Github"/>
    <hyperlink ref="E5" r:id="rId4" location="" tooltip="" display="PincOpen Github"/>
    <hyperlink ref="E6" r:id="rId5" location="" tooltip="" display="PincOpen Github"/>
    <hyperlink ref="E7" r:id="rId6" location="" tooltip="" display="PincOpen Github"/>
    <hyperlink ref="E8" r:id="rId7" location="" tooltip="" display="PincOpen Github"/>
    <hyperlink ref="E11" r:id="rId8" location="" tooltip="" display="PincOpen Github"/>
    <hyperlink ref="D16" r:id="rId9" location="" tooltip="" display="Electronics1"/>
    <hyperlink ref="E16" r:id="rId10" location="" tooltip="" display="Gotronic"/>
    <hyperlink ref="E17" r:id="rId11" location="" tooltip="" display="Digikey"/>
    <hyperlink ref="E20" r:id="rId12" location="" tooltip="" display="Digikey"/>
    <hyperlink ref="E21" r:id="rId13" location="" tooltip="" display="Digikey"/>
    <hyperlink ref="E22" r:id="rId14" location="" tooltip="" display="Ampul"/>
    <hyperlink ref="D25" r:id="rId15" location="" tooltip="" display="Electronics10"/>
    <hyperlink ref="E25" r:id="rId16" location="" tooltip="" display="Ebay"/>
    <hyperlink ref="E26" r:id="rId17" location="" tooltip="" display="Digikey"/>
    <hyperlink ref="E27" r:id="rId18" location="" tooltip="" display="Digikey"/>
    <hyperlink ref="E28" r:id="rId19" location="" tooltip="" display="Digikey"/>
    <hyperlink ref="D29" r:id="rId20" location="" tooltip="" display="Mechanics1"/>
    <hyperlink ref="E29" r:id="rId21" location="" tooltip="" display="Vital-part"/>
    <hyperlink ref="D30" r:id="rId22" location="" tooltip="" display="Mechanics2"/>
    <hyperlink ref="E30" r:id="rId23" location="" tooltip="" display="VitalPart"/>
    <hyperlink ref="D31" r:id="rId24" location="" tooltip="" display="Mechanics3"/>
    <hyperlink ref="E31" r:id="rId25" location="" tooltip="" display="Aliexpress"/>
    <hyperlink ref="D32" r:id="rId26" location="" tooltip="" display="Mechanics4"/>
    <hyperlink ref="E32" r:id="rId27" location="" tooltip="" display="Aliexpress"/>
    <hyperlink ref="D33" r:id="rId28" location="" tooltip="" display="Mechanics5"/>
    <hyperlink ref="E33" r:id="rId29" location="" tooltip="" display="RS"/>
    <hyperlink ref="D34" r:id="rId30" location="" tooltip="" display="Mechanics6"/>
    <hyperlink ref="E34" r:id="rId31" location="" tooltip="" display="RS"/>
    <hyperlink ref="E35" r:id="rId32" location="" tooltip="" display="RS"/>
    <hyperlink ref="D36" r:id="rId33" location="" tooltip="" display="Mechanics8"/>
    <hyperlink ref="D37" r:id="rId34" location="" tooltip="" display="Mechanics9"/>
    <hyperlink ref="D38" r:id="rId35" location="" tooltip="" display="Tool1"/>
    <hyperlink ref="D39" r:id="rId36" location="" tooltip="" display="Tool2"/>
    <hyperlink ref="D40" r:id="rId37" location="" tooltip="" display="Object1"/>
    <hyperlink ref="D41" r:id="rId38" location="" tooltip="" display="Object2"/>
    <hyperlink ref="D42" r:id="rId39" location="" tooltip="" display="Object3"/>
  </hyperlinks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